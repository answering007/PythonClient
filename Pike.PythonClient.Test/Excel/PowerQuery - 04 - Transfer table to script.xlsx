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ke\source\repos\PythonClient\Pike.PythonClient.Test\Excel\"/>
    </mc:Choice>
  </mc:AlternateContent>
  <xr:revisionPtr revIDLastSave="0" documentId="13_ncr:1_{C64AF736-FAFB-498F-A301-67AFF7E4ED3B}" xr6:coauthVersionLast="47" xr6:coauthVersionMax="47" xr10:uidLastSave="{00000000-0000-0000-0000-000000000000}"/>
  <bookViews>
    <workbookView xWindow="-120" yWindow="-120" windowWidth="29040" windowHeight="15840" xr2:uid="{17993AF3-CD44-4036-B904-32277D8E8279}"/>
  </bookViews>
  <sheets>
    <sheet name="Sheet1" sheetId="1" r:id="rId1"/>
  </sheets>
  <definedNames>
    <definedName name="ExternalData_1" localSheetId="0" hidden="1">Sheet1!$I$2:$K$21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C9" i="1" a="1"/>
  <c r="C7" i="1" a="1"/>
  <c r="C10" i="1" a="1"/>
  <c r="C8" i="1" a="1"/>
  <c r="C8" i="1" l="1"/>
  <c r="C10" i="1"/>
  <c r="C7" i="1"/>
  <c r="C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05621D-65A7-4511-A5D1-44E85150D9E3}" keepAlive="1" name="Запрос — ConnectionString" description="Соединение с запросом &quot;ConnectionString&quot; в книге." type="5" refreshedVersion="0" background="1">
    <dbPr connection="Provider=Microsoft.Mashup.OleDb.1;Data Source=$Workbook$;Location=ConnectionString;Extended Properties=&quot;&quot;" command="SELECT * FROM [ConnectionString]"/>
  </connection>
  <connection id="2" xr16:uid="{E29F7C05-5A38-4EEB-924C-F5201A986989}" keepAlive="1" name="Запрос — fnCompressToText" description="Соединение с запросом &quot;fnCompressToText&quot; в книге." type="5" refreshedVersion="0" background="1">
    <dbPr connection="Provider=Microsoft.Mashup.OleDb.1;Data Source=$Workbook$;Location=fnCompressToText;Extended Properties=&quot;&quot;" command="SELECT * FROM [fnCompressToText]"/>
  </connection>
  <connection id="3" xr16:uid="{0B4B25E5-80F1-49CE-8372-A6B4F5960BE3}" keepAlive="1" name="Запрос — PythonData" description="Соединение с запросом &quot;PythonData&quot; в книге." type="5" refreshedVersion="8" background="1" saveData="1">
    <dbPr connection="Provider=Microsoft.Mashup.OleDb.1;Data Source=$Workbook$;Location=PythonData;Extended Properties=&quot;&quot;" command="SELECT * FROM [PythonData]"/>
  </connection>
  <connection id="4" xr16:uid="{A7141D9F-0CFF-4B8C-81CF-2B744F567907}" keepAlive="1" name="Запрос — PythonHome" description="Соединение с запросом &quot;PythonHome&quot; в книге." type="5" refreshedVersion="0" background="1">
    <dbPr connection="Provider=Microsoft.Mashup.OleDb.1;Data Source=$Workbook$;Location=PythonHome;Extended Properties=&quot;&quot;" command="SELECT * FROM [PythonHome]"/>
  </connection>
  <connection id="5" xr16:uid="{A25D8543-C937-4613-806C-31D08A644857}" keepAlive="1" name="Запрос — Query" description="Соединение с запросом &quot;Query&quot; в книге." type="5" refreshedVersion="0" background="1">
    <dbPr connection="Provider=Microsoft.Mashup.OleDb.1;Data Source=$Workbook$;Location=Query;Extended Properties=&quot;&quot;" command="SELECT * FROM [Query]"/>
  </connection>
  <connection id="6" xr16:uid="{26AD90DD-AE7F-4803-9542-8B1C9EE8D785}" keepAlive="1" name="Запрос — Settings" description="Соединение с запросом &quot;Settings&quot; в книге." type="5" refreshedVersion="0" background="1">
    <dbPr connection="Provider=Microsoft.Mashup.OleDb.1;Data Source=$Workbook$;Location=Settings;Extended Properties=&quot;&quot;" command="SELECT * FROM [Settings]"/>
  </connection>
  <connection id="7" xr16:uid="{EA69447D-8BFC-42B7-8C78-FAAF31E63C4A}" keepAlive="1" name="Запрос — SourceTable" description="Соединение с запросом &quot;SourceTable&quot; в книге." type="5" refreshedVersion="0" background="1">
    <dbPr connection="Provider=Microsoft.Mashup.OleDb.1;Data Source=$Workbook$;Location=SourceTable;Extended Properties=&quot;&quot;" command="SELECT * FROM [Source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<sst xmlns="http://schemas.openxmlformats.org/spreadsheetml/2006/main" count="58" uniqueCount="32">
  <si>
    <t>Name</t>
  </si>
  <si>
    <t>Value</t>
  </si>
  <si>
    <t>C:\Users\Pike\anaconda3\python311.dll</t>
  </si>
  <si>
    <t>Path to python dll</t>
  </si>
  <si>
    <t>Python script file</t>
  </si>
  <si>
    <t>Lib</t>
  </si>
  <si>
    <t>DLLs</t>
  </si>
  <si>
    <t>Lib\site-packages</t>
  </si>
  <si>
    <t>Library\bin</t>
  </si>
  <si>
    <t>No</t>
  </si>
  <si>
    <t>Olivia</t>
  </si>
  <si>
    <t>Ava</t>
  </si>
  <si>
    <t>Isabella</t>
  </si>
  <si>
    <t>Sophia</t>
  </si>
  <si>
    <t>Charlotte</t>
  </si>
  <si>
    <t>Mia</t>
  </si>
  <si>
    <t>Amelia</t>
  </si>
  <si>
    <t>Harper</t>
  </si>
  <si>
    <t>Evelyn</t>
  </si>
  <si>
    <t>Abigail</t>
  </si>
  <si>
    <t>Emily</t>
  </si>
  <si>
    <t>Elizabeth</t>
  </si>
  <si>
    <t>Mila</t>
  </si>
  <si>
    <t>Ella</t>
  </si>
  <si>
    <t>Avery</t>
  </si>
  <si>
    <t>Sofia</t>
  </si>
  <si>
    <t>Camila</t>
  </si>
  <si>
    <t>Aria</t>
  </si>
  <si>
    <t>Scarlett</t>
  </si>
  <si>
    <t>Source table</t>
  </si>
  <si>
    <t>Python result</t>
  </si>
  <si>
    <t>C:\Users\Pike\source\repos\PythonClient\Pike.PythonClient.Test\Python\TestScript03.py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</si>
</sst>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3" xr16:uid="{5CBD7203-5834-4356-969E-77BBA131576A}" autoFormatId="16" applyNumberFormats="0" applyBorderFormats="0" applyFontFormats="0" applyPatternFormats="0" applyAlignmentFormats="0" applyWidthHeightFormats="0">
  <queryTableRefresh nextId="10">
    <queryTableFields count="3">
      <queryTableField id="7" name="No" tableColumnId="2"/>
      <queryTableField id="1" name="name" tableColumnId="1"/>
      <queryTableField id="8" name="Value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79ECE-15DC-4C13-875A-B4CBA63E7605}" name="Settings" displayName="Settings" ref="B2:C4" totalsRowShown="0">
  <autoFilter ref="B2:C4" xr:uid="{E4679ECE-15DC-4C13-875A-B4CBA63E7605}"/>
  <tableColumns count="2">
    <tableColumn id="1" xr3:uid="{93EA405F-7FB9-44DF-8C80-0DCDD7708E8E}" name="Name"/>
    <tableColumn id="2" xr3:uid="{B690975A-9540-4EA4-A615-6DD6FC153F7E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50AC73-8AAC-4820-B766-15B9EE251193}" name="Compose" displayName="Compose" ref="B6:C10" totalsRowShown="0">
  <autoFilter ref="B6:C10" xr:uid="{8550AC73-8AAC-4820-B766-15B9EE251193}"/>
  <tableColumns count="2">
    <tableColumn id="1" xr3:uid="{BDDB7521-7F27-4255-A896-C34E207F9E8F}" name="Name"/>
    <tableColumn id="2" xr3:uid="{8F2F48E1-D1C1-4540-8372-9991442BCC6E}" name="Value">
      <calculatedColumnFormula array="1">LEFT($C$3,MAX((MID($C$3,ROW(INDIRECT("1:"&amp;LEN($C$3))),1)="\")*ROW(INDIRECT("1:"&amp;LEN($C$3)))))&amp;Compose[[#This Row],[Name]]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CCD27-796A-413C-85F1-521672C8DFF2}" name="PythonData" displayName="PythonData" ref="I2:K21" tableType="queryTable" totalsRowShown="0">
  <autoFilter ref="I2:K21" xr:uid="{4F9CCD27-796A-413C-85F1-521672C8DFF2}"/>
  <tableColumns count="3">
    <tableColumn id="2" xr3:uid="{98534ED7-3421-42C0-9DFD-60FA6A6ABC25}" uniqueName="2" name="No" queryTableFieldId="7"/>
    <tableColumn id="1" xr3:uid="{D536E8CD-68CB-4E63-B4C1-065FDE62F897}" uniqueName="1" name="Name" queryTableFieldId="1"/>
    <tableColumn id="3" xr3:uid="{E4837C43-3A1E-4D53-9E8F-4C654F92196E}" uniqueName="3" name="Value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1C4266-A41C-45BA-8847-9899A0573631}" name="SourceTable" displayName="SourceTable" ref="E2:G21" totalsRowShown="0">
  <autoFilter ref="E2:G21" xr:uid="{AF1C4266-A41C-45BA-8847-9899A0573631}"/>
  <tableColumns count="3">
    <tableColumn id="1" xr3:uid="{4BEE95E0-86FD-433D-AC52-A72201C3D927}" name="No" dataDxfId="1">
      <calculatedColumnFormula>ROW()-ROW(SourceTable[[#Headers],[No]])</calculatedColumnFormula>
    </tableColumn>
    <tableColumn id="2" xr3:uid="{B8EBECB7-8613-4C02-AD91-633F099620BB}" name="Name"/>
    <tableColumn id="3" xr3:uid="{089B976A-5D48-41B5-9D97-8B8945B491B7}" name="Value" dataDxfId="0">
      <calculatedColumnFormula>LN(SourceTable[[#This Row],[No]])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8C7A-BF01-436D-BC9E-5BB4E51D9628}">
  <dimension ref="B1:K21"/>
  <sheetViews>
    <sheetView tabSelected="1" workbookViewId="0">
      <selection activeCell="J3" sqref="J3"/>
    </sheetView>
  </sheetViews>
  <sheetFormatPr defaultRowHeight="15" x14ac:dyDescent="0.25"/>
  <cols>
    <col min="1" max="1" width="2.85546875" customWidth="1"/>
    <col min="2" max="2" width="21.42578125" customWidth="1"/>
    <col min="3" max="3" width="78.42578125" bestFit="1" customWidth="1"/>
    <col min="4" max="4" width="2.85546875" customWidth="1"/>
    <col min="5" max="5" width="5.85546875" bestFit="1" customWidth="1"/>
    <col min="6" max="6" width="9" bestFit="1" customWidth="1"/>
    <col min="7" max="7" width="12" bestFit="1" customWidth="1"/>
    <col min="8" max="8" width="2.85546875" customWidth="1"/>
    <col min="9" max="9" width="5.85546875" bestFit="1" customWidth="1"/>
    <col min="10" max="10" width="9" bestFit="1" customWidth="1"/>
    <col min="11" max="11" width="12" bestFit="1" customWidth="1"/>
  </cols>
  <sheetData>
    <row r="1" spans="2:11" x14ac:dyDescent="0.25">
      <c r="E1" s="1" t="s">
        <v>29</v>
      </c>
      <c r="I1" s="2" t="s">
        <v>30</v>
      </c>
      <c r="J1" s="2"/>
      <c r="K1" s="2"/>
    </row>
    <row r="2" spans="2:11" x14ac:dyDescent="0.25">
      <c r="B2" t="s">
        <v>0</v>
      </c>
      <c r="C2" t="s">
        <v>1</v>
      </c>
      <c r="E2" t="s">
        <v>9</v>
      </c>
      <c r="F2" t="s">
        <v>0</v>
      </c>
      <c r="G2" t="s">
        <v>1</v>
      </c>
      <c r="I2" t="s">
        <v>9</v>
      </c>
      <c r="J2" t="s">
        <v>0</v>
      </c>
      <c r="K2" t="s">
        <v>1</v>
      </c>
    </row>
    <row r="3" spans="2:11" x14ac:dyDescent="0.25">
      <c r="B3" t="s">
        <v>3</v>
      </c>
      <c r="C3" t="s">
        <v>2</v>
      </c>
      <c r="E3">
        <f>ROW()-ROW(SourceTable[[#Headers],[No]])</f>
        <v>1</v>
      </c>
      <c r="F3" t="s">
        <v>10</v>
      </c>
      <c r="G3">
        <f>LN(SourceTable[[#This Row],[No]])</f>
        <v>0</v>
      </c>
      <c r="I3">
        <v>1</v>
      </c>
      <c r="J3" t="s">
        <v>10</v>
      </c>
      <c r="K3">
        <v>0</v>
      </c>
    </row>
    <row r="4" spans="2:11" x14ac:dyDescent="0.25">
      <c r="B4" t="s">
        <v>4</v>
      </c>
      <c r="C4" t="s">
        <v>31</v>
      </c>
      <c r="E4">
        <f>ROW()-ROW(SourceTable[[#Headers],[No]])</f>
        <v>2</v>
      </c>
      <c r="F4" t="s">
        <v>11</v>
      </c>
      <c r="G4">
        <f>LN(SourceTable[[#This Row],[No]])</f>
        <v>0.69314718055994529</v>
      </c>
      <c r="I4">
        <v>2</v>
      </c>
      <c r="J4" t="s">
        <v>11</v>
      </c>
      <c r="K4">
        <v>9.0109133472792884</v>
      </c>
    </row>
    <row r="5" spans="2:11" x14ac:dyDescent="0.25">
      <c r="E5">
        <f>ROW()-ROW(SourceTable[[#Headers],[No]])</f>
        <v>3</v>
      </c>
      <c r="F5" t="s">
        <v>12</v>
      </c>
      <c r="G5">
        <f>LN(SourceTable[[#This Row],[No]])</f>
        <v>1.0986122886681098</v>
      </c>
      <c r="I5">
        <v>3</v>
      </c>
      <c r="J5" t="s">
        <v>12</v>
      </c>
      <c r="K5">
        <v>14.281959752685427</v>
      </c>
    </row>
    <row r="6" spans="2:11" x14ac:dyDescent="0.25">
      <c r="B6" t="s">
        <v>0</v>
      </c>
      <c r="C6" t="s">
        <v>1</v>
      </c>
      <c r="E6">
        <f>ROW()-ROW(SourceTable[[#Headers],[No]])</f>
        <v>4</v>
      </c>
      <c r="F6" t="s">
        <v>13</v>
      </c>
      <c r="G6">
        <f>LN(SourceTable[[#This Row],[No]])</f>
        <v>1.3862943611198906</v>
      </c>
      <c r="I6">
        <v>4</v>
      </c>
      <c r="J6" t="s">
        <v>13</v>
      </c>
      <c r="K6">
        <v>18.021826694558577</v>
      </c>
    </row>
    <row r="7" spans="2:11" x14ac:dyDescent="0.25">
      <c r="B7" t="s">
        <v>5</v>
      </c>
      <c r="C7" t="str" cm="1">
        <f t="array" aca="1" ref="C7" ca="1">LEFT($C$3,MAX((MID($C$3,ROW(INDIRECT("1:"&amp;LEN($C$3))),1)="\")*ROW(INDIRECT("1:"&amp;LEN($C$3)))))&amp;Compose[[#This Row],[Name]]</f>
        <v>C:\Users\Pike\anaconda3\Lib</v>
      </c>
      <c r="E7">
        <f>ROW()-ROW(SourceTable[[#Headers],[No]])</f>
        <v>5</v>
      </c>
      <c r="F7" t="s">
        <v>14</v>
      </c>
      <c r="G7">
        <f>LN(SourceTable[[#This Row],[No]])</f>
        <v>1.6094379124341003</v>
      </c>
      <c r="I7">
        <v>5</v>
      </c>
      <c r="J7" t="s">
        <v>14</v>
      </c>
      <c r="K7">
        <v>20.922692861643302</v>
      </c>
    </row>
    <row r="8" spans="2:11" x14ac:dyDescent="0.25">
      <c r="B8" t="s">
        <v>6</v>
      </c>
      <c r="C8" t="str" cm="1">
        <f t="array" aca="1" ref="C8" ca="1">LEFT($C$3,MAX((MID($C$3,ROW(INDIRECT("1:"&amp;LEN($C$3))),1)="\")*ROW(INDIRECT("1:"&amp;LEN($C$3)))))&amp;Compose[[#This Row],[Name]]</f>
        <v>C:\Users\Pike\anaconda3\DLLs</v>
      </c>
      <c r="E8">
        <f>ROW()-ROW(SourceTable[[#Headers],[No]])</f>
        <v>6</v>
      </c>
      <c r="F8" t="s">
        <v>15</v>
      </c>
      <c r="G8">
        <f>LN(SourceTable[[#This Row],[No]])</f>
        <v>1.791759469228055</v>
      </c>
      <c r="I8">
        <v>6</v>
      </c>
      <c r="J8" t="s">
        <v>15</v>
      </c>
      <c r="K8">
        <v>23.292873099964716</v>
      </c>
    </row>
    <row r="9" spans="2:11" x14ac:dyDescent="0.25">
      <c r="B9" t="s">
        <v>7</v>
      </c>
      <c r="C9" t="str" cm="1">
        <f t="array" aca="1" ref="C9" ca="1">LEFT($C$3,MAX((MID($C$3,ROW(INDIRECT("1:"&amp;LEN($C$3))),1)="\")*ROW(INDIRECT("1:"&amp;LEN($C$3)))))&amp;Compose[[#This Row],[Name]]</f>
        <v>C:\Users\Pike\anaconda3\Lib\site-packages</v>
      </c>
      <c r="E9">
        <f>ROW()-ROW(SourceTable[[#Headers],[No]])</f>
        <v>7</v>
      </c>
      <c r="F9" t="s">
        <v>16</v>
      </c>
      <c r="G9">
        <f>LN(SourceTable[[#This Row],[No]])</f>
        <v>1.9459101490553132</v>
      </c>
      <c r="I9">
        <v>7</v>
      </c>
      <c r="J9" t="s">
        <v>16</v>
      </c>
      <c r="K9">
        <v>25.296831937719073</v>
      </c>
    </row>
    <row r="10" spans="2:11" x14ac:dyDescent="0.25">
      <c r="B10" t="s">
        <v>8</v>
      </c>
      <c r="C10" t="str" cm="1">
        <f t="array" aca="1" ref="C10" ca="1">LEFT($C$3,MAX((MID($C$3,ROW(INDIRECT("1:"&amp;LEN($C$3))),1)="\")*ROW(INDIRECT("1:"&amp;LEN($C$3)))))&amp;Compose[[#This Row],[Name]]</f>
        <v>C:\Users\Pike\anaconda3\Library\bin</v>
      </c>
      <c r="E10">
        <f>ROW()-ROW(SourceTable[[#Headers],[No]])</f>
        <v>8</v>
      </c>
      <c r="F10" t="s">
        <v>17</v>
      </c>
      <c r="G10">
        <f>LN(SourceTable[[#This Row],[No]])</f>
        <v>2.0794415416798357</v>
      </c>
      <c r="I10">
        <v>8</v>
      </c>
      <c r="J10" t="s">
        <v>17</v>
      </c>
      <c r="K10">
        <v>27.032740041837865</v>
      </c>
    </row>
    <row r="11" spans="2:11" x14ac:dyDescent="0.25">
      <c r="E11">
        <f>ROW()-ROW(SourceTable[[#Headers],[No]])</f>
        <v>9</v>
      </c>
      <c r="F11" t="s">
        <v>18</v>
      </c>
      <c r="G11">
        <f>LN(SourceTable[[#This Row],[No]])</f>
        <v>2.1972245773362196</v>
      </c>
      <c r="I11">
        <v>9</v>
      </c>
      <c r="J11" t="s">
        <v>18</v>
      </c>
      <c r="K11">
        <v>28.563919505370855</v>
      </c>
    </row>
    <row r="12" spans="2:11" x14ac:dyDescent="0.25">
      <c r="E12">
        <f>ROW()-ROW(SourceTable[[#Headers],[No]])</f>
        <v>10</v>
      </c>
      <c r="F12" t="s">
        <v>19</v>
      </c>
      <c r="G12">
        <f>LN(SourceTable[[#This Row],[No]])</f>
        <v>2.3025850929940459</v>
      </c>
      <c r="I12">
        <v>10</v>
      </c>
      <c r="J12" t="s">
        <v>19</v>
      </c>
      <c r="K12">
        <v>29.933606208922598</v>
      </c>
    </row>
    <row r="13" spans="2:11" x14ac:dyDescent="0.25">
      <c r="E13">
        <f>ROW()-ROW(SourceTable[[#Headers],[No]])</f>
        <v>11</v>
      </c>
      <c r="F13" t="s">
        <v>20</v>
      </c>
      <c r="G13">
        <f>LN(SourceTable[[#This Row],[No]])</f>
        <v>2.3978952727983707</v>
      </c>
      <c r="I13">
        <v>11</v>
      </c>
      <c r="J13" t="s">
        <v>20</v>
      </c>
      <c r="K13">
        <v>31.17263854637882</v>
      </c>
    </row>
    <row r="14" spans="2:11" x14ac:dyDescent="0.25">
      <c r="E14">
        <f>ROW()-ROW(SourceTable[[#Headers],[No]])</f>
        <v>12</v>
      </c>
      <c r="F14" t="s">
        <v>21</v>
      </c>
      <c r="G14">
        <f>LN(SourceTable[[#This Row],[No]])</f>
        <v>2.4849066497880004</v>
      </c>
      <c r="I14">
        <v>12</v>
      </c>
      <c r="J14" t="s">
        <v>21</v>
      </c>
      <c r="K14">
        <v>32.303786447244008</v>
      </c>
    </row>
    <row r="15" spans="2:11" x14ac:dyDescent="0.25">
      <c r="E15">
        <f>ROW()-ROW(SourceTable[[#Headers],[No]])</f>
        <v>13</v>
      </c>
      <c r="F15" t="s">
        <v>22</v>
      </c>
      <c r="G15">
        <f>LN(SourceTable[[#This Row],[No]])</f>
        <v>2.5649493574615367</v>
      </c>
      <c r="I15">
        <v>13</v>
      </c>
      <c r="J15" t="s">
        <v>22</v>
      </c>
      <c r="K15">
        <v>33.344341646999979</v>
      </c>
    </row>
    <row r="16" spans="2:11" x14ac:dyDescent="0.25">
      <c r="E16">
        <f>ROW()-ROW(SourceTable[[#Headers],[No]])</f>
        <v>14</v>
      </c>
      <c r="F16" t="s">
        <v>23</v>
      </c>
      <c r="G16">
        <f>LN(SourceTable[[#This Row],[No]])</f>
        <v>2.6390573296152584</v>
      </c>
      <c r="I16">
        <v>14</v>
      </c>
      <c r="J16" t="s">
        <v>23</v>
      </c>
      <c r="K16">
        <v>34.307745284998362</v>
      </c>
    </row>
    <row r="17" spans="5:11" x14ac:dyDescent="0.25">
      <c r="E17">
        <f>ROW()-ROW(SourceTable[[#Headers],[No]])</f>
        <v>15</v>
      </c>
      <c r="F17" t="s">
        <v>24</v>
      </c>
      <c r="G17">
        <f>LN(SourceTable[[#This Row],[No]])</f>
        <v>2.7080502011022101</v>
      </c>
      <c r="I17">
        <v>15</v>
      </c>
      <c r="J17" t="s">
        <v>24</v>
      </c>
      <c r="K17">
        <v>35.204652614328729</v>
      </c>
    </row>
    <row r="18" spans="5:11" x14ac:dyDescent="0.25">
      <c r="E18">
        <f>ROW()-ROW(SourceTable[[#Headers],[No]])</f>
        <v>16</v>
      </c>
      <c r="F18" t="s">
        <v>25</v>
      </c>
      <c r="G18">
        <f>LN(SourceTable[[#This Row],[No]])</f>
        <v>2.7725887222397811</v>
      </c>
      <c r="I18">
        <v>16</v>
      </c>
      <c r="J18" t="s">
        <v>25</v>
      </c>
      <c r="K18">
        <v>36.043653389117154</v>
      </c>
    </row>
    <row r="19" spans="5:11" x14ac:dyDescent="0.25">
      <c r="E19">
        <f>ROW()-ROW(SourceTable[[#Headers],[No]])</f>
        <v>17</v>
      </c>
      <c r="F19" t="s">
        <v>26</v>
      </c>
      <c r="G19">
        <f>LN(SourceTable[[#This Row],[No]])</f>
        <v>2.8332133440562162</v>
      </c>
      <c r="I19">
        <v>17</v>
      </c>
      <c r="J19" t="s">
        <v>26</v>
      </c>
      <c r="K19">
        <v>36.831773472730809</v>
      </c>
    </row>
    <row r="20" spans="5:11" x14ac:dyDescent="0.25">
      <c r="E20">
        <f>ROW()-ROW(SourceTable[[#Headers],[No]])</f>
        <v>18</v>
      </c>
      <c r="F20" t="s">
        <v>27</v>
      </c>
      <c r="G20">
        <f>LN(SourceTable[[#This Row],[No]])</f>
        <v>2.8903717578961645</v>
      </c>
      <c r="I20">
        <v>18</v>
      </c>
      <c r="J20" t="s">
        <v>27</v>
      </c>
      <c r="K20">
        <v>37.57483285265014</v>
      </c>
    </row>
    <row r="21" spans="5:11" x14ac:dyDescent="0.25">
      <c r="E21">
        <f>ROW()-ROW(SourceTable[[#Headers],[No]])</f>
        <v>19</v>
      </c>
      <c r="F21" t="s">
        <v>28</v>
      </c>
      <c r="G21">
        <f>LN(SourceTable[[#This Row],[No]])</f>
        <v>2.9444389791664403</v>
      </c>
      <c r="I21">
        <v>19</v>
      </c>
      <c r="J21" t="s">
        <v>28</v>
      </c>
      <c r="K21">
        <v>38.277706729163725</v>
      </c>
    </row>
  </sheetData>
  <phoneticPr fontId="3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0D3DE-6356-4F8C-9521-560C86768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Kasatkin</dc:creator>
  <cp:lastModifiedBy>Pavel Kasatkin</cp:lastModifiedBy>
  <dcterms:created xsi:type="dcterms:W3CDTF">2025-04-29T21:55:55Z</dcterms:created>
  <dcterms:modified xsi:type="dcterms:W3CDTF">2025-05-03T00:41:34Z</dcterms:modified>
</cp:coreProperties>
</file>